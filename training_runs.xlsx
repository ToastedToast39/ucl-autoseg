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uns" sheetId="1" state="visible" r:id="rId1"/>
    <sheet name="Per-Image Eval v7" sheetId="2" state="visible" r:id="rId2"/>
    <sheet name="Label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0F6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4" fillId="0" borderId="0" pivotButton="0" quotePrefix="0" xfId="0"/>
    <xf numFmtId="164" fontId="2" fillId="3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165" fontId="2" fillId="3" borderId="1" pivotButton="0" quotePrefix="0" xfId="0"/>
    <xf numFmtId="0" fontId="2" fillId="5" borderId="1" pivotButton="0" quotePrefix="0" xfId="0"/>
    <xf numFmtId="165" fontId="2" fillId="5" borderId="1" pivotButton="0" quotePrefix="0" xfId="0"/>
    <xf numFmtId="165" fontId="2" fillId="0" borderId="1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8" customWidth="1" min="4" max="4"/>
    <col width="10" customWidth="1" min="5" max="5"/>
    <col width="8" customWidth="1" min="6" max="6"/>
    <col width="10" customWidth="1" min="7" max="7"/>
    <col width="7" customWidth="1" min="8" max="8"/>
    <col width="8" customWidth="1" min="9" max="9"/>
    <col width="11" customWidth="1" min="10" max="10"/>
    <col width="9" customWidth="1" min="11" max="11"/>
    <col width="15" customWidth="1" min="12" max="12"/>
    <col width="10" customWidth="1" min="13" max="13"/>
    <col width="32" customWidth="1" min="14" max="14"/>
    <col width="34" customWidth="1" min="15" max="1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Machine</t>
        </is>
      </c>
      <c r="D1" s="1" t="inlineStr">
        <is>
          <t>Device</t>
        </is>
      </c>
      <c r="E1" s="1" t="inlineStr">
        <is>
          <t>Backbone</t>
        </is>
      </c>
      <c r="F1" s="1" t="inlineStr">
        <is>
          <t>Epochs</t>
        </is>
      </c>
      <c r="G1" s="1" t="inlineStr">
        <is>
          <t>Resize</t>
        </is>
      </c>
      <c r="H1" s="1" t="inlineStr">
        <is>
          <t>Batch</t>
        </is>
      </c>
      <c r="I1" s="1" t="inlineStr">
        <is>
          <t>LR</t>
        </is>
      </c>
      <c r="J1" s="1" t="inlineStr">
        <is>
          <t>Train Imgs</t>
        </is>
      </c>
      <c r="K1" s="1" t="inlineStr">
        <is>
          <t>Val Imgs</t>
        </is>
      </c>
      <c r="L1" s="1" t="inlineStr">
        <is>
          <t>Verified Labels</t>
        </is>
      </c>
      <c r="M1" s="1" t="inlineStr">
        <is>
          <t>Val Dice</t>
        </is>
      </c>
      <c r="N1" s="1" t="inlineStr">
        <is>
          <t>Model File</t>
        </is>
      </c>
      <c r="O1" s="1" t="inlineStr">
        <is>
          <t>Notes</t>
        </is>
      </c>
    </row>
    <row r="2">
      <c r="A2" s="2" t="inlineStr">
        <is>
          <t>v1</t>
        </is>
      </c>
      <c r="B2" s="2" t="inlineStr">
        <is>
          <t>2026-06-04</t>
        </is>
      </c>
      <c r="C2" s="2" t="inlineStr">
        <is>
          <t>Rudys-MacBook-Pro</t>
        </is>
      </c>
      <c r="D2" s="2" t="inlineStr">
        <is>
          <t>cpu</t>
        </is>
      </c>
      <c r="E2" s="2" t="inlineStr">
        <is>
          <t>unet</t>
        </is>
      </c>
      <c r="F2" s="2" t="n">
        <v>80</v>
      </c>
      <c r="G2" s="2" t="inlineStr">
        <is>
          <t>none</t>
        </is>
      </c>
      <c r="H2" s="2" t="inlineStr"/>
      <c r="I2" s="2" t="inlineStr"/>
      <c r="J2" s="2" t="n">
        <v>16</v>
      </c>
      <c r="K2" s="2" t="n">
        <v>4</v>
      </c>
      <c r="L2" s="2" t="n">
        <v>20</v>
      </c>
      <c r="M2" s="3" t="n">
        <v>0.7967</v>
      </c>
      <c r="N2" s="2" t="inlineStr">
        <is>
          <t>(mac v1)</t>
        </is>
      </c>
      <c r="O2" s="2" t="inlineStr">
        <is>
          <t>First run, full resolution</t>
        </is>
      </c>
    </row>
    <row r="3">
      <c r="A3" s="4" t="inlineStr">
        <is>
          <t>v2</t>
        </is>
      </c>
      <c r="B3" s="4" t="inlineStr">
        <is>
          <t>2026-06-10</t>
        </is>
      </c>
      <c r="C3" s="4" t="inlineStr">
        <is>
          <t>PC (RTX 3060 Ti)</t>
        </is>
      </c>
      <c r="D3" s="4" t="inlineStr">
        <is>
          <t>cuda</t>
        </is>
      </c>
      <c r="E3" s="4" t="inlineStr">
        <is>
          <t>unet</t>
        </is>
      </c>
      <c r="F3" s="4" t="n">
        <v>80</v>
      </c>
      <c r="G3" s="4" t="inlineStr">
        <is>
          <t>512x512</t>
        </is>
      </c>
      <c r="H3" s="4" t="inlineStr"/>
      <c r="I3" s="4" t="inlineStr"/>
      <c r="J3" s="4" t="n">
        <v>13</v>
      </c>
      <c r="K3" s="4" t="n">
        <v>4</v>
      </c>
      <c r="L3" s="4" t="n">
        <v>17</v>
      </c>
      <c r="M3" s="4" t="n">
        <v>0.348</v>
      </c>
      <c r="N3" s="4" t="inlineStr">
        <is>
          <t>v2_combined</t>
        </is>
      </c>
      <c r="O3" s="4" t="inlineStr">
        <is>
          <t>3 labels missing (sync issue)</t>
        </is>
      </c>
    </row>
    <row r="4">
      <c r="A4" s="2" t="inlineStr">
        <is>
          <t>v3</t>
        </is>
      </c>
      <c r="B4" s="2" t="inlineStr">
        <is>
          <t>2026-06-10</t>
        </is>
      </c>
      <c r="C4" s="2" t="inlineStr">
        <is>
          <t>PC (RTX 3060 Ti)</t>
        </is>
      </c>
      <c r="D4" s="2" t="inlineStr">
        <is>
          <t>cuda</t>
        </is>
      </c>
      <c r="E4" s="2" t="inlineStr">
        <is>
          <t>unet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n">
        <v>17</v>
      </c>
      <c r="M4" s="2" t="inlineStr"/>
      <c r="N4" s="2" t="inlineStr"/>
      <c r="O4" s="2" t="inlineStr">
        <is>
          <t>Run discarded / not recorded</t>
        </is>
      </c>
    </row>
    <row r="5">
      <c r="A5" s="4" t="inlineStr">
        <is>
          <t>v4</t>
        </is>
      </c>
      <c r="B5" s="4" t="inlineStr">
        <is>
          <t>2026-06-10</t>
        </is>
      </c>
      <c r="C5" s="4" t="inlineStr">
        <is>
          <t>PC (RTX 3060 Ti)</t>
        </is>
      </c>
      <c r="D5" s="4" t="inlineStr">
        <is>
          <t>cuda</t>
        </is>
      </c>
      <c r="E5" s="4" t="inlineStr">
        <is>
          <t>unet</t>
        </is>
      </c>
      <c r="F5" s="4" t="n">
        <v>200</v>
      </c>
      <c r="G5" s="4" t="inlineStr">
        <is>
          <t>320x512</t>
        </is>
      </c>
      <c r="H5" s="4" t="inlineStr"/>
      <c r="I5" s="4" t="inlineStr"/>
      <c r="J5" s="4" t="n">
        <v>13</v>
      </c>
      <c r="K5" s="4" t="n">
        <v>4</v>
      </c>
      <c r="L5" s="4" t="n">
        <v>17</v>
      </c>
      <c r="M5" s="4" t="n">
        <v>0.656</v>
      </c>
      <c r="N5" s="4" t="inlineStr">
        <is>
          <t>v4_320x512_e200</t>
        </is>
      </c>
      <c r="O5" s="4" t="inlineStr"/>
    </row>
    <row r="6">
      <c r="A6" s="2" t="inlineStr">
        <is>
          <t>v5</t>
        </is>
      </c>
      <c r="B6" s="2" t="inlineStr">
        <is>
          <t>2026-06-10</t>
        </is>
      </c>
      <c r="C6" s="2" t="inlineStr">
        <is>
          <t>PC (RTX 3060 Ti)</t>
        </is>
      </c>
      <c r="D6" s="2" t="inlineStr">
        <is>
          <t>cuda</t>
        </is>
      </c>
      <c r="E6" s="2" t="inlineStr">
        <is>
          <t>unet</t>
        </is>
      </c>
      <c r="F6" s="2" t="n">
        <v>200</v>
      </c>
      <c r="G6" s="2" t="inlineStr">
        <is>
          <t>256x384</t>
        </is>
      </c>
      <c r="H6" s="2" t="inlineStr"/>
      <c r="I6" s="2" t="inlineStr"/>
      <c r="J6" s="2" t="n">
        <v>13</v>
      </c>
      <c r="K6" s="2" t="n">
        <v>4</v>
      </c>
      <c r="L6" s="2" t="n">
        <v>17</v>
      </c>
      <c r="M6" s="2" t="n">
        <v>0.604</v>
      </c>
      <c r="N6" s="2" t="inlineStr">
        <is>
          <t>v5_256x384_e200</t>
        </is>
      </c>
      <c r="O6" s="2" t="inlineStr"/>
    </row>
    <row r="7">
      <c r="A7" s="4" t="inlineStr">
        <is>
          <t>v6</t>
        </is>
      </c>
      <c r="B7" s="4" t="inlineStr">
        <is>
          <t>2026-06-10</t>
        </is>
      </c>
      <c r="C7" s="4" t="inlineStr">
        <is>
          <t>PC (RTX 3060 Ti)</t>
        </is>
      </c>
      <c r="D7" s="4" t="inlineStr">
        <is>
          <t>cuda</t>
        </is>
      </c>
      <c r="E7" s="4" t="inlineStr">
        <is>
          <t>unet</t>
        </is>
      </c>
      <c r="F7" s="4" t="n">
        <v>400</v>
      </c>
      <c r="G7" s="4" t="inlineStr">
        <is>
          <t>320x512</t>
        </is>
      </c>
      <c r="H7" s="4" t="inlineStr"/>
      <c r="I7" s="4" t="inlineStr"/>
      <c r="J7" s="4" t="n">
        <v>13</v>
      </c>
      <c r="K7" s="4" t="n">
        <v>4</v>
      </c>
      <c r="L7" s="4" t="n">
        <v>17</v>
      </c>
      <c r="M7" s="4" t="n">
        <v>0.665</v>
      </c>
      <c r="N7" s="4" t="inlineStr">
        <is>
          <t>v6_320x512_e400</t>
        </is>
      </c>
      <c r="O7" s="4" t="inlineStr"/>
    </row>
    <row r="8">
      <c r="A8" s="2" t="inlineStr">
        <is>
          <t>v7</t>
        </is>
      </c>
      <c r="B8" s="2" t="inlineStr">
        <is>
          <t>2026-06-10</t>
        </is>
      </c>
      <c r="C8" s="2" t="inlineStr">
        <is>
          <t>PC (RTX 3060 Ti)</t>
        </is>
      </c>
      <c r="D8" s="2" t="inlineStr">
        <is>
          <t>cuda</t>
        </is>
      </c>
      <c r="E8" s="2" t="inlineStr">
        <is>
          <t>unet</t>
        </is>
      </c>
      <c r="F8" s="2" t="n">
        <v>400</v>
      </c>
      <c r="G8" s="2" t="inlineStr">
        <is>
          <t>320x512</t>
        </is>
      </c>
      <c r="H8" s="2" t="inlineStr"/>
      <c r="I8" s="2" t="inlineStr"/>
      <c r="J8" s="2" t="n">
        <v>16</v>
      </c>
      <c r="K8" s="2" t="n">
        <v>4</v>
      </c>
      <c r="L8" s="2" t="n">
        <v>20</v>
      </c>
      <c r="M8" s="3" t="n">
        <v>0.7476</v>
      </c>
      <c r="N8" s="2" t="inlineStr">
        <is>
          <t>v7_full20 / ucl_seg_v7_20260610.pt</t>
        </is>
      </c>
      <c r="O8" s="2" t="inlineStr">
        <is>
          <t>ACTIVE model. Best PC run</t>
        </is>
      </c>
    </row>
    <row r="9">
      <c r="A9" s="5" t="inlineStr">
        <is>
          <t>Runs from 2026-08-26 onward exclude the clinical holdout subjects (11192502, PLUCSD004, PLUCSD009) — see holdout_subjects.json.</t>
        </is>
      </c>
    </row>
    <row r="10">
      <c r="A10" s="5" t="inlineStr">
        <is>
          <t>New rows are appended automatically by scripts/train_seg.py at the end of each run (falls back to training_runs.csv if openpyxl is missing on that machine).</t>
        </is>
      </c>
    </row>
    <row r="11">
      <c r="A11" s="5" t="inlineStr">
        <is>
          <t>Only the Notes column is meant for hand-editing; all other values come from the training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Subject</t>
        </is>
      </c>
      <c r="B1" s="1" t="inlineStr">
        <is>
          <t>Image</t>
        </is>
      </c>
      <c r="C1" s="1" t="inlineStr">
        <is>
          <t>Humerus Dice</t>
        </is>
      </c>
      <c r="D1" s="1" t="inlineStr">
        <is>
          <t>Ulna Dice</t>
        </is>
      </c>
      <c r="E1" s="1" t="inlineStr">
        <is>
          <t>Mean Dice</t>
        </is>
      </c>
    </row>
    <row r="2">
      <c r="A2" s="2" t="inlineStr">
        <is>
          <t>Jake_villar</t>
        </is>
      </c>
      <c r="B2" s="2" t="inlineStr">
        <is>
          <t>capture_10_2025-12-09T14-57-23</t>
        </is>
      </c>
      <c r="C2" s="6" t="n">
        <v>0.414</v>
      </c>
      <c r="D2" s="6" t="n">
        <v>0.657</v>
      </c>
      <c r="E2" s="6">
        <f>(C2+D2)/2</f>
        <v/>
      </c>
    </row>
    <row r="3">
      <c r="A3" s="4" t="inlineStr">
        <is>
          <t>Jake_villar</t>
        </is>
      </c>
      <c r="B3" s="4" t="inlineStr">
        <is>
          <t>capture_18_2025-12-09T17-08-50</t>
        </is>
      </c>
      <c r="C3" s="7" t="n">
        <v>0.5679999999999999</v>
      </c>
      <c r="D3" s="7" t="n">
        <v>0.577</v>
      </c>
      <c r="E3" s="7">
        <f>(C3+D3)/2</f>
        <v/>
      </c>
    </row>
    <row r="4">
      <c r="A4" s="2" t="inlineStr">
        <is>
          <t>Jake_villar</t>
        </is>
      </c>
      <c r="B4" s="2" t="inlineStr">
        <is>
          <t>capture_19_2025-12-09T17-08-57</t>
        </is>
      </c>
      <c r="C4" s="6" t="n">
        <v>0.546</v>
      </c>
      <c r="D4" s="6" t="n">
        <v>0</v>
      </c>
      <c r="E4" s="6">
        <f>(C4+D4)/2</f>
        <v/>
      </c>
    </row>
    <row r="5">
      <c r="A5" s="4" t="inlineStr">
        <is>
          <t>Jake_villar</t>
        </is>
      </c>
      <c r="B5" s="4" t="inlineStr">
        <is>
          <t>capture_21_2025-12-09T15-05-31</t>
        </is>
      </c>
      <c r="C5" s="7" t="n">
        <v>0.515</v>
      </c>
      <c r="D5" s="7" t="n">
        <v>0</v>
      </c>
      <c r="E5" s="7">
        <f>(C5+D5)/2</f>
        <v/>
      </c>
    </row>
    <row r="6">
      <c r="A6" s="2" t="inlineStr">
        <is>
          <t>Jake_villar</t>
        </is>
      </c>
      <c r="B6" s="2" t="inlineStr">
        <is>
          <t>capture_24_2025-12-09T15-06-30</t>
        </is>
      </c>
      <c r="C6" s="6" t="n">
        <v>0.492</v>
      </c>
      <c r="D6" s="6" t="n">
        <v>0.849</v>
      </c>
      <c r="E6" s="6">
        <f>(C6+D6)/2</f>
        <v/>
      </c>
    </row>
    <row r="7">
      <c r="A7" s="4" t="inlineStr">
        <is>
          <t>PLUCSD001</t>
        </is>
      </c>
      <c r="B7" s="4" t="inlineStr">
        <is>
          <t>P9O9RKO0</t>
        </is>
      </c>
      <c r="C7" s="7" t="n">
        <v>0.877</v>
      </c>
      <c r="D7" s="7" t="n">
        <v>0.863</v>
      </c>
      <c r="E7" s="7">
        <f>(C7+D7)/2</f>
        <v/>
      </c>
    </row>
    <row r="8">
      <c r="A8" s="2" t="inlineStr">
        <is>
          <t>PLUCSD001</t>
        </is>
      </c>
      <c r="B8" s="2" t="inlineStr">
        <is>
          <t>P9O9RKOA</t>
        </is>
      </c>
      <c r="C8" s="6" t="n">
        <v>0.864</v>
      </c>
      <c r="D8" s="6" t="n">
        <v>0.946</v>
      </c>
      <c r="E8" s="6">
        <f>(C8+D8)/2</f>
        <v/>
      </c>
    </row>
    <row r="9">
      <c r="A9" s="4" t="inlineStr">
        <is>
          <t>PLUCSD001</t>
        </is>
      </c>
      <c r="B9" s="4" t="inlineStr">
        <is>
          <t>P9OBE522</t>
        </is>
      </c>
      <c r="C9" s="7" t="n">
        <v>0.891</v>
      </c>
      <c r="D9" s="7" t="n">
        <v>0.9379999999999999</v>
      </c>
      <c r="E9" s="7">
        <f>(C9+D9)/2</f>
        <v/>
      </c>
    </row>
    <row r="10">
      <c r="A10" s="2" t="inlineStr">
        <is>
          <t>PLUCSD001</t>
        </is>
      </c>
      <c r="B10" s="2" t="inlineStr">
        <is>
          <t>P9OBE52C</t>
        </is>
      </c>
      <c r="C10" s="6" t="n">
        <v>0.875</v>
      </c>
      <c r="D10" s="6" t="n">
        <v>0.8159999999999999</v>
      </c>
      <c r="E10" s="6">
        <f>(C10+D10)/2</f>
        <v/>
      </c>
    </row>
    <row r="11">
      <c r="A11" s="4" t="inlineStr">
        <is>
          <t>PLUCSD001</t>
        </is>
      </c>
      <c r="B11" s="4" t="inlineStr">
        <is>
          <t>P9OBE52Q</t>
        </is>
      </c>
      <c r="C11" s="7" t="n">
        <v>0.908</v>
      </c>
      <c r="D11" s="7" t="n">
        <v>0.9379999999999999</v>
      </c>
      <c r="E11" s="7">
        <f>(C11+D11)/2</f>
        <v/>
      </c>
    </row>
    <row r="12">
      <c r="A12" s="2" t="inlineStr">
        <is>
          <t>PLUCSD002</t>
        </is>
      </c>
      <c r="B12" s="2" t="inlineStr">
        <is>
          <t>P9OAC6OS</t>
        </is>
      </c>
      <c r="C12" s="6" t="n">
        <v>0.858</v>
      </c>
      <c r="D12" s="6" t="n">
        <v>0.916</v>
      </c>
      <c r="E12" s="6">
        <f>(C12+D12)/2</f>
        <v/>
      </c>
    </row>
    <row r="13">
      <c r="A13" s="4" t="inlineStr">
        <is>
          <t>PLUCSD002</t>
        </is>
      </c>
      <c r="B13" s="4" t="inlineStr">
        <is>
          <t>P9OAC6OU</t>
        </is>
      </c>
      <c r="C13" s="7" t="n">
        <v>0.79</v>
      </c>
      <c r="D13" s="7" t="n">
        <v>0.912</v>
      </c>
      <c r="E13" s="7">
        <f>(C13+D13)/2</f>
        <v/>
      </c>
    </row>
    <row r="14">
      <c r="A14" s="2" t="inlineStr">
        <is>
          <t>PLUCSD002</t>
        </is>
      </c>
      <c r="B14" s="2" t="inlineStr">
        <is>
          <t>P9OAC6PA</t>
        </is>
      </c>
      <c r="C14" s="6" t="n">
        <v>0.793</v>
      </c>
      <c r="D14" s="6" t="n">
        <v>0.895</v>
      </c>
      <c r="E14" s="6">
        <f>(C14+D14)/2</f>
        <v/>
      </c>
    </row>
    <row r="15">
      <c r="A15" s="4" t="inlineStr">
        <is>
          <t>PLUCSD002</t>
        </is>
      </c>
      <c r="B15" s="4" t="inlineStr">
        <is>
          <t>P9OC0JS6</t>
        </is>
      </c>
      <c r="C15" s="7" t="n">
        <v>0.758</v>
      </c>
      <c r="D15" s="7" t="n">
        <v>0.8139999999999999</v>
      </c>
      <c r="E15" s="7">
        <f>(C15+D15)/2</f>
        <v/>
      </c>
    </row>
    <row r="16">
      <c r="A16" s="2" t="inlineStr">
        <is>
          <t>PLUCSD002</t>
        </is>
      </c>
      <c r="B16" s="2" t="inlineStr">
        <is>
          <t>P9OC0JTC</t>
        </is>
      </c>
      <c r="C16" s="6" t="n">
        <v>0.905</v>
      </c>
      <c r="D16" s="6" t="n">
        <v>0.878</v>
      </c>
      <c r="E16" s="6">
        <f>(C16+D16)/2</f>
        <v/>
      </c>
    </row>
    <row r="17">
      <c r="A17" s="4" t="inlineStr">
        <is>
          <t>PLUCSD003</t>
        </is>
      </c>
      <c r="B17" s="4" t="inlineStr">
        <is>
          <t>P9OBLJR4</t>
        </is>
      </c>
      <c r="C17" s="7" t="n">
        <v>0.793</v>
      </c>
      <c r="D17" s="7" t="n">
        <v>0.5610000000000001</v>
      </c>
      <c r="E17" s="7">
        <f>(C17+D17)/2</f>
        <v/>
      </c>
    </row>
    <row r="18">
      <c r="A18" s="2" t="inlineStr">
        <is>
          <t>PLUCSD003</t>
        </is>
      </c>
      <c r="B18" s="2" t="inlineStr">
        <is>
          <t>P9OBLJRG</t>
        </is>
      </c>
      <c r="C18" s="6" t="n">
        <v>0.8139999999999999</v>
      </c>
      <c r="D18" s="6" t="n">
        <v>0.928</v>
      </c>
      <c r="E18" s="6">
        <f>(C18+D18)/2</f>
        <v/>
      </c>
    </row>
    <row r="19">
      <c r="A19" s="4" t="inlineStr">
        <is>
          <t>PLUCSD003</t>
        </is>
      </c>
      <c r="B19" s="4" t="inlineStr">
        <is>
          <t>P9OBLJRK</t>
        </is>
      </c>
      <c r="C19" s="7" t="n">
        <v>0.764</v>
      </c>
      <c r="D19" s="7" t="n">
        <v>0.927</v>
      </c>
      <c r="E19" s="7">
        <f>(C19+D19)/2</f>
        <v/>
      </c>
    </row>
    <row r="20">
      <c r="A20" s="2" t="inlineStr">
        <is>
          <t>PLUCSD003</t>
        </is>
      </c>
      <c r="B20" s="2" t="inlineStr">
        <is>
          <t>P9OBLJS0</t>
        </is>
      </c>
      <c r="C20" s="6" t="n">
        <v>0.899</v>
      </c>
      <c r="D20" s="6" t="n">
        <v>0.926</v>
      </c>
      <c r="E20" s="6">
        <f>(C20+D20)/2</f>
        <v/>
      </c>
    </row>
    <row r="21">
      <c r="A21" s="4" t="inlineStr">
        <is>
          <t>PLUCSD003</t>
        </is>
      </c>
      <c r="B21" s="4" t="inlineStr">
        <is>
          <t>P9ODHC14</t>
        </is>
      </c>
      <c r="C21" s="7" t="n">
        <v>0.793</v>
      </c>
      <c r="D21" s="7" t="n">
        <v>0.909</v>
      </c>
      <c r="E21" s="7">
        <f>(C21+D21)/2</f>
        <v/>
      </c>
    </row>
    <row r="22">
      <c r="A22" s="8" t="inlineStr">
        <is>
          <t>Jake_villar mean</t>
        </is>
      </c>
      <c r="C22" s="9">
        <f>AVERAGEIF($A$2:$A$21,"Jake_villar",C$2:C$21)</f>
        <v/>
      </c>
      <c r="D22" s="9">
        <f>AVERAGEIF($A$2:$A$21,"Jake_villar",D$2:D$21)</f>
        <v/>
      </c>
      <c r="E22" s="9">
        <f>AVERAGEIF($A$2:$A$21,"Jake_villar",E$2:E$21)</f>
        <v/>
      </c>
    </row>
    <row r="23">
      <c r="A23" s="8" t="inlineStr">
        <is>
          <t>PLUCSD001 mean</t>
        </is>
      </c>
      <c r="C23" s="9">
        <f>AVERAGEIF($A$2:$A$21,"PLUCSD001",C$2:C$21)</f>
        <v/>
      </c>
      <c r="D23" s="9">
        <f>AVERAGEIF($A$2:$A$21,"PLUCSD001",D$2:D$21)</f>
        <v/>
      </c>
      <c r="E23" s="9">
        <f>AVERAGEIF($A$2:$A$21,"PLUCSD001",E$2:E$21)</f>
        <v/>
      </c>
    </row>
    <row r="24">
      <c r="A24" s="8" t="inlineStr">
        <is>
          <t>PLUCSD002 mean</t>
        </is>
      </c>
      <c r="C24" s="9">
        <f>AVERAGEIF($A$2:$A$21,"PLUCSD002",C$2:C$21)</f>
        <v/>
      </c>
      <c r="D24" s="9">
        <f>AVERAGEIF($A$2:$A$21,"PLUCSD002",D$2:D$21)</f>
        <v/>
      </c>
      <c r="E24" s="9">
        <f>AVERAGEIF($A$2:$A$21,"PLUCSD002",E$2:E$21)</f>
        <v/>
      </c>
    </row>
    <row r="25">
      <c r="A25" s="8" t="inlineStr">
        <is>
          <t>PLUCSD003 mean</t>
        </is>
      </c>
      <c r="C25" s="9">
        <f>AVERAGEIF($A$2:$A$21,"PLUCSD003",C$2:C$21)</f>
        <v/>
      </c>
      <c r="D25" s="9">
        <f>AVERAGEIF($A$2:$A$21,"PLUCSD003",D$2:D$21)</f>
        <v/>
      </c>
      <c r="E25" s="9">
        <f>AVERAGEIF($A$2:$A$21,"PLUCSD003",E$2:E$21)</f>
        <v/>
      </c>
    </row>
    <row r="26">
      <c r="A26" s="8" t="inlineStr">
        <is>
          <t>OVERALL mean</t>
        </is>
      </c>
      <c r="C26" s="10">
        <f>AVERAGE(C2:C21)</f>
        <v/>
      </c>
      <c r="D26" s="10">
        <f>AVERAGE(D2:D21)</f>
        <v/>
      </c>
      <c r="E26" s="10">
        <f>AVERAGE(E2:E21)</f>
        <v/>
      </c>
    </row>
    <row r="28">
      <c r="A28" s="5" t="inlineStr">
        <is>
          <t>Model ucl_seg.pt (= v7) vs the 20 human-verified masks, evaluated 2026-08-26. Optimistic: v7 trained on these images — honest numbers come from the holdout subjects.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Subject</t>
        </is>
      </c>
      <c r="B1" s="1" t="inlineStr">
        <is>
          <t>Images</t>
        </is>
      </c>
      <c r="C1" s="1" t="inlineStr">
        <is>
          <t>Verified Masks</t>
        </is>
      </c>
      <c r="D1" s="1" t="inlineStr">
        <is>
          <t>Draft Masks</t>
        </is>
      </c>
      <c r="E1" s="1" t="inlineStr">
        <is>
          <t>Holdout?</t>
        </is>
      </c>
      <c r="F1" s="1" t="inlineStr">
        <is>
          <t>% Verified</t>
        </is>
      </c>
    </row>
    <row r="2">
      <c r="A2" s="2" t="inlineStr">
        <is>
          <t>11192501</t>
        </is>
      </c>
      <c r="B2" s="2" t="n">
        <v>74</v>
      </c>
      <c r="C2" s="2" t="n">
        <v>0</v>
      </c>
      <c r="D2" s="2" t="n">
        <v>74</v>
      </c>
      <c r="E2" s="2" t="inlineStr">
        <is>
          <t>No</t>
        </is>
      </c>
      <c r="F2" s="11">
        <f>C2/B2</f>
        <v/>
      </c>
    </row>
    <row r="3">
      <c r="A3" s="12" t="inlineStr">
        <is>
          <t>11192502</t>
        </is>
      </c>
      <c r="B3" s="12" t="n">
        <v>62</v>
      </c>
      <c r="C3" s="12" t="n">
        <v>0</v>
      </c>
      <c r="D3" s="12" t="n">
        <v>61</v>
      </c>
      <c r="E3" s="12" t="inlineStr">
        <is>
          <t>YES</t>
        </is>
      </c>
      <c r="F3" s="13">
        <f>C3/B3</f>
        <v/>
      </c>
    </row>
    <row r="4">
      <c r="A4" s="2" t="inlineStr">
        <is>
          <t>Chapman_Weber</t>
        </is>
      </c>
      <c r="B4" s="2" t="n">
        <v>36</v>
      </c>
      <c r="C4" s="2" t="n">
        <v>0</v>
      </c>
      <c r="D4" s="2" t="n">
        <v>36</v>
      </c>
      <c r="E4" s="2" t="inlineStr">
        <is>
          <t>No</t>
        </is>
      </c>
      <c r="F4" s="11">
        <f>C4/B4</f>
        <v/>
      </c>
    </row>
    <row r="5">
      <c r="A5" s="4" t="inlineStr">
        <is>
          <t>Evan_Seneres</t>
        </is>
      </c>
      <c r="B5" s="4" t="n">
        <v>43</v>
      </c>
      <c r="C5" s="4" t="n">
        <v>0</v>
      </c>
      <c r="D5" s="4" t="n">
        <v>43</v>
      </c>
      <c r="E5" s="4" t="inlineStr">
        <is>
          <t>No</t>
        </is>
      </c>
      <c r="F5" s="14">
        <f>C5/B5</f>
        <v/>
      </c>
    </row>
    <row r="6">
      <c r="A6" s="2" t="inlineStr">
        <is>
          <t>Harry</t>
        </is>
      </c>
      <c r="B6" s="2" t="n">
        <v>34</v>
      </c>
      <c r="C6" s="2" t="n">
        <v>0</v>
      </c>
      <c r="D6" s="2" t="n">
        <v>34</v>
      </c>
      <c r="E6" s="2" t="inlineStr">
        <is>
          <t>No</t>
        </is>
      </c>
      <c r="F6" s="11">
        <f>C6/B6</f>
        <v/>
      </c>
    </row>
    <row r="7">
      <c r="A7" s="4" t="inlineStr">
        <is>
          <t>Harry_Pelzham</t>
        </is>
      </c>
      <c r="B7" s="4" t="n">
        <v>34</v>
      </c>
      <c r="C7" s="4" t="n">
        <v>0</v>
      </c>
      <c r="D7" s="4" t="n">
        <v>34</v>
      </c>
      <c r="E7" s="4" t="inlineStr">
        <is>
          <t>No</t>
        </is>
      </c>
      <c r="F7" s="14">
        <f>C7/B7</f>
        <v/>
      </c>
    </row>
    <row r="8">
      <c r="A8" s="2" t="inlineStr">
        <is>
          <t>Jacob_Villar</t>
        </is>
      </c>
      <c r="B8" s="2" t="n">
        <v>45</v>
      </c>
      <c r="C8" s="2" t="n">
        <v>0</v>
      </c>
      <c r="D8" s="2" t="n">
        <v>45</v>
      </c>
      <c r="E8" s="2" t="inlineStr">
        <is>
          <t>No</t>
        </is>
      </c>
      <c r="F8" s="11">
        <f>C8/B8</f>
        <v/>
      </c>
    </row>
    <row r="9">
      <c r="A9" s="4" t="inlineStr">
        <is>
          <t>Jake_villar</t>
        </is>
      </c>
      <c r="B9" s="4" t="n">
        <v>65</v>
      </c>
      <c r="C9" s="4" t="n">
        <v>5</v>
      </c>
      <c r="D9" s="4" t="n">
        <v>0</v>
      </c>
      <c r="E9" s="4" t="inlineStr">
        <is>
          <t>No</t>
        </is>
      </c>
      <c r="F9" s="14">
        <f>C9/B9</f>
        <v/>
      </c>
    </row>
    <row r="10">
      <c r="A10" s="2" t="inlineStr">
        <is>
          <t>PLUCSD001</t>
        </is>
      </c>
      <c r="B10" s="2" t="n">
        <v>33</v>
      </c>
      <c r="C10" s="2" t="n">
        <v>5</v>
      </c>
      <c r="D10" s="2" t="n">
        <v>0</v>
      </c>
      <c r="E10" s="2" t="inlineStr">
        <is>
          <t>No</t>
        </is>
      </c>
      <c r="F10" s="11">
        <f>C10/B10</f>
        <v/>
      </c>
    </row>
    <row r="11">
      <c r="A11" s="4" t="inlineStr">
        <is>
          <t>PLUCSD002</t>
        </is>
      </c>
      <c r="B11" s="4" t="n">
        <v>23</v>
      </c>
      <c r="C11" s="4" t="n">
        <v>5</v>
      </c>
      <c r="D11" s="4" t="n">
        <v>0</v>
      </c>
      <c r="E11" s="4" t="inlineStr">
        <is>
          <t>No</t>
        </is>
      </c>
      <c r="F11" s="14">
        <f>C11/B11</f>
        <v/>
      </c>
    </row>
    <row r="12">
      <c r="A12" s="2" t="inlineStr">
        <is>
          <t>PLUCSD003</t>
        </is>
      </c>
      <c r="B12" s="2" t="n">
        <v>35</v>
      </c>
      <c r="C12" s="2" t="n">
        <v>5</v>
      </c>
      <c r="D12" s="2" t="n">
        <v>0</v>
      </c>
      <c r="E12" s="2" t="inlineStr">
        <is>
          <t>No</t>
        </is>
      </c>
      <c r="F12" s="11">
        <f>C12/B12</f>
        <v/>
      </c>
    </row>
    <row r="13">
      <c r="A13" s="12" t="inlineStr">
        <is>
          <t>PLUCSD004</t>
        </is>
      </c>
      <c r="B13" s="12" t="n">
        <v>17</v>
      </c>
      <c r="C13" s="12" t="n">
        <v>0</v>
      </c>
      <c r="D13" s="12" t="n">
        <v>0</v>
      </c>
      <c r="E13" s="12" t="inlineStr">
        <is>
          <t>YES</t>
        </is>
      </c>
      <c r="F13" s="13">
        <f>C13/B13</f>
        <v/>
      </c>
    </row>
    <row r="14">
      <c r="A14" s="12" t="inlineStr">
        <is>
          <t>PLUCSD009</t>
        </is>
      </c>
      <c r="B14" s="12" t="n">
        <v>54</v>
      </c>
      <c r="C14" s="12" t="n">
        <v>0</v>
      </c>
      <c r="D14" s="12" t="n">
        <v>0</v>
      </c>
      <c r="E14" s="12" t="inlineStr">
        <is>
          <t>YES</t>
        </is>
      </c>
      <c r="F14" s="13">
        <f>C14/B14</f>
        <v/>
      </c>
    </row>
    <row r="15">
      <c r="A15" s="4" t="inlineStr">
        <is>
          <t>PLUCSD010</t>
        </is>
      </c>
      <c r="B15" s="4" t="n">
        <v>51</v>
      </c>
      <c r="C15" s="4" t="n">
        <v>0</v>
      </c>
      <c r="D15" s="4" t="n">
        <v>51</v>
      </c>
      <c r="E15" s="4" t="inlineStr">
        <is>
          <t>No</t>
        </is>
      </c>
      <c r="F15" s="14">
        <f>C15/B15</f>
        <v/>
      </c>
    </row>
    <row r="16">
      <c r="A16" s="2" t="inlineStr">
        <is>
          <t>PLUCSD011</t>
        </is>
      </c>
      <c r="B16" s="2" t="n">
        <v>54</v>
      </c>
      <c r="C16" s="2" t="n">
        <v>0</v>
      </c>
      <c r="D16" s="2" t="n">
        <v>54</v>
      </c>
      <c r="E16" s="2" t="inlineStr">
        <is>
          <t>No</t>
        </is>
      </c>
      <c r="F16" s="11">
        <f>C16/B16</f>
        <v/>
      </c>
    </row>
    <row r="17">
      <c r="A17" s="8" t="inlineStr">
        <is>
          <t>TOTAL</t>
        </is>
      </c>
      <c r="B17" s="8">
        <f>SUM(B2:B16)</f>
        <v/>
      </c>
      <c r="C17" s="8">
        <f>SUM(C2:C16)</f>
        <v/>
      </c>
      <c r="D17" s="8">
        <f>SUM(D2:D16)</f>
        <v/>
      </c>
      <c r="F17" s="15">
        <f>C17/B17</f>
        <v/>
      </c>
    </row>
    <row r="19">
      <c r="A19" s="5" t="inlineStr">
        <is>
          <t>Snapshot 2026-08-26. Verified = human-corrected masks in masks/ (training data). Draft = unreviewed model proposals in masks_draft/ (never trained on). Orange rows = clinical holdout, excluded from all training; the 11192502 drafts exist only to be corrected into evaluation ground truth.</t>
        </is>
      </c>
    </row>
    <row r="20">
      <c r="A20" s="5" t="inlineStr">
        <is>
          <t>Counts here are a manual snapshot — refresh by re-running the inventory, or read live counts in Slicer Panel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2026-08-26T22:29:42Z</dcterms:created>
  <dcterms:modified xsi:type="dcterms:W3CDTF">2026-08-26T22:29:42Z</dcterms:modified>
</cp:coreProperties>
</file>